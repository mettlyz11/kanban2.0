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比公司分析" sheetId="1" state="visible" r:id="rId1"/>
    <sheet xmlns:r="http://schemas.openxmlformats.org/officeDocument/2006/relationships" name="估值方法论对比" sheetId="2" state="visible" r:id="rId2"/>
    <sheet xmlns:r="http://schemas.openxmlformats.org/officeDocument/2006/relationships" name="和光智成估值测算" sheetId="3" state="visible" r:id="rId3"/>
    <sheet xmlns:r="http://schemas.openxmlformats.org/officeDocument/2006/relationships" name="敏感性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C0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6" customWidth="1" min="4" max="4"/>
    <col width="14" customWidth="1" min="5" max="5"/>
    <col width="10" customWidth="1" min="6" max="6"/>
    <col width="25" customWidth="1" min="7" max="7"/>
    <col width="35" customWidth="1" min="8" max="8"/>
  </cols>
  <sheetData>
    <row r="1">
      <c r="A1" s="1" t="inlineStr">
        <is>
          <t>公司名称</t>
        </is>
      </c>
      <c r="B1" s="1" t="inlineStr">
        <is>
          <t>赛道</t>
        </is>
      </c>
      <c r="C1" s="1" t="inlineStr">
        <is>
          <t>融资轮次</t>
        </is>
      </c>
      <c r="D1" s="1" t="inlineStr">
        <is>
          <t>投后估值(亿元)</t>
        </is>
      </c>
      <c r="E1" s="1" t="inlineStr">
        <is>
          <t>营收(亿元)</t>
        </is>
      </c>
      <c r="F1" s="1" t="inlineStr">
        <is>
          <t>P/S倍数</t>
        </is>
      </c>
      <c r="G1" s="1" t="inlineStr">
        <is>
          <t>核心投资者</t>
        </is>
      </c>
      <c r="H1" s="1" t="inlineStr">
        <is>
          <t>关键里程碑</t>
        </is>
      </c>
    </row>
    <row r="2">
      <c r="A2" s="2" t="inlineStr">
        <is>
          <t>Periodic Labs</t>
        </is>
      </c>
      <c r="B2" s="2" t="inlineStr">
        <is>
          <t>AI材料科学</t>
        </is>
      </c>
      <c r="C2" s="2" t="inlineStr">
        <is>
          <t>种子轮</t>
        </is>
      </c>
      <c r="D2" s="2" t="n">
        <v>70</v>
      </c>
      <c r="E2" s="2" t="n">
        <v>0</v>
      </c>
      <c r="F2" s="2" t="inlineStr">
        <is>
          <t>N/A</t>
        </is>
      </c>
      <c r="G2" s="2" t="inlineStr">
        <is>
          <t>a16z、英伟达、Felicis</t>
        </is>
      </c>
      <c r="H2" s="2" t="inlineStr">
        <is>
          <t>3亿美元融资、三位一体科学栈</t>
        </is>
      </c>
    </row>
    <row r="3">
      <c r="A3" s="2" t="inlineStr">
        <is>
          <t>SandboxAQ</t>
        </is>
      </c>
      <c r="B3" s="2" t="inlineStr">
        <is>
          <t>量子+AI材料</t>
        </is>
      </c>
      <c r="C3" s="2" t="inlineStr">
        <is>
          <t>E轮</t>
        </is>
      </c>
      <c r="D3" s="2" t="n">
        <v>399</v>
      </c>
      <c r="E3" s="2" t="n">
        <v>20</v>
      </c>
      <c r="F3" s="2" t="n">
        <v>19.95</v>
      </c>
      <c r="G3" s="2" t="inlineStr">
        <is>
          <t>Alphabet、TPG</t>
        </is>
      </c>
      <c r="H3" s="2" t="inlineStr">
        <is>
          <t>4.5亿美元融资、Post-Quantum Cryptography</t>
        </is>
      </c>
    </row>
    <row r="4">
      <c r="A4" s="2" t="inlineStr">
        <is>
          <t>晶泰科技</t>
        </is>
      </c>
      <c r="B4" s="2" t="inlineStr">
        <is>
          <t>AI药物/材料</t>
        </is>
      </c>
      <c r="C4" s="2" t="inlineStr">
        <is>
          <t>Pre-IPO</t>
        </is>
      </c>
      <c r="D4" s="2" t="n">
        <v>200</v>
      </c>
      <c r="E4" s="2" t="n">
        <v>6.83</v>
      </c>
      <c r="F4" s="2" t="n">
        <v>29.28</v>
      </c>
      <c r="G4" s="2" t="inlineStr">
        <is>
          <t>红杉、高瓴、腾讯</t>
        </is>
      </c>
      <c r="H4" s="2" t="inlineStr">
        <is>
          <t>港股上市、AI for Science稀缺标的</t>
        </is>
      </c>
    </row>
    <row r="5">
      <c r="A5" s="2" t="inlineStr">
        <is>
          <t>魔芯科技</t>
        </is>
      </c>
      <c r="B5" s="2" t="inlineStr">
        <is>
          <t>空间智能/AI</t>
        </is>
      </c>
      <c r="C5" s="2" t="inlineStr">
        <is>
          <t>Pre-A+</t>
        </is>
      </c>
      <c r="D5" s="2" t="n">
        <v>15</v>
      </c>
      <c r="E5" s="2" t="n">
        <v>1</v>
      </c>
      <c r="F5" s="2" t="n">
        <v>15</v>
      </c>
      <c r="G5" s="2" t="inlineStr">
        <is>
          <t>华为哈勃、联想创投</t>
        </is>
      </c>
      <c r="H5" s="2" t="inlineStr">
        <is>
          <t>亿元融资、空间智能模型</t>
        </is>
      </c>
    </row>
    <row r="6">
      <c r="A6" s="2" t="inlineStr">
        <is>
          <t>千寻智能</t>
        </is>
      </c>
      <c r="B6" s="2" t="inlineStr">
        <is>
          <t>具身智能/产线</t>
        </is>
      </c>
      <c r="C6" s="2" t="inlineStr">
        <is>
          <t>A轮</t>
        </is>
      </c>
      <c r="D6" s="2" t="n">
        <v>80</v>
      </c>
      <c r="E6" s="2" t="n">
        <v>2</v>
      </c>
      <c r="F6" s="2" t="n">
        <v>40</v>
      </c>
      <c r="G6" s="2" t="inlineStr">
        <is>
          <t>红杉中国、云峰基金</t>
        </is>
      </c>
      <c r="H6" s="2" t="inlineStr">
        <is>
          <t>20亿融资、人形具身智能产线</t>
        </is>
      </c>
    </row>
    <row r="7">
      <c r="A7" s="2" t="inlineStr">
        <is>
          <t>自变量机器人</t>
        </is>
      </c>
      <c r="B7" s="2" t="inlineStr">
        <is>
          <t>具身智能</t>
        </is>
      </c>
      <c r="C7" s="2" t="inlineStr">
        <is>
          <t>A++轮</t>
        </is>
      </c>
      <c r="D7" s="2" t="n">
        <v>60</v>
      </c>
      <c r="E7" s="2" t="n">
        <v>1.5</v>
      </c>
      <c r="F7" s="2" t="n">
        <v>40</v>
      </c>
      <c r="G7" s="2" t="inlineStr">
        <is>
          <t>红杉中国、深创投、字节</t>
        </is>
      </c>
      <c r="H7" s="2" t="inlineStr">
        <is>
          <t>10亿融资、软硬件全栈自研</t>
        </is>
      </c>
    </row>
    <row r="8">
      <c r="A8" s="2" t="inlineStr">
        <is>
          <t>OpenRouter</t>
        </is>
      </c>
      <c r="B8" s="2" t="inlineStr">
        <is>
          <t>AI模型平台</t>
        </is>
      </c>
      <c r="C8" s="2" t="inlineStr">
        <is>
          <t>种子+</t>
        </is>
      </c>
      <c r="D8" s="2" t="n">
        <v>90</v>
      </c>
      <c r="E8" s="2" t="n">
        <v>0.5</v>
      </c>
      <c r="F8" s="2" t="n">
        <v>180</v>
      </c>
      <c r="G8" s="2" t="inlineStr">
        <is>
          <t>CapitalG、a16z</t>
        </is>
      </c>
      <c r="H8" s="2" t="inlineStr">
        <is>
          <t>年化营收超5000万美元</t>
        </is>
      </c>
    </row>
    <row r="9">
      <c r="A9" s="2" t="inlineStr">
        <is>
          <t>拓元智慧</t>
        </is>
      </c>
      <c r="B9" s="2" t="inlineStr">
        <is>
          <t>空间智能/AI</t>
        </is>
      </c>
      <c r="C9" s="2" t="inlineStr">
        <is>
          <t>Pre-A</t>
        </is>
      </c>
      <c r="D9" s="2" t="n">
        <v>20</v>
      </c>
      <c r="E9" s="2" t="n">
        <v>0.3</v>
      </c>
      <c r="F9" s="2" t="n">
        <v>66.67</v>
      </c>
      <c r="G9" s="2" t="inlineStr">
        <is>
          <t>高瓴、经纬</t>
        </is>
      </c>
      <c r="H9" s="2" t="inlineStr">
        <is>
          <t>数亿元融资、物理空间智能模型</t>
        </is>
      </c>
    </row>
    <row r="10">
      <c r="A10" s="2" t="inlineStr">
        <is>
          <t>生境科技</t>
        </is>
      </c>
      <c r="B10" s="2" t="inlineStr">
        <is>
          <t>空间AI生成</t>
        </is>
      </c>
      <c r="C10" s="2" t="inlineStr">
        <is>
          <t>Pre-A</t>
        </is>
      </c>
      <c r="D10" s="2" t="n">
        <v>8</v>
      </c>
      <c r="E10" s="2" t="n">
        <v>0.1</v>
      </c>
      <c r="F10" s="2" t="n">
        <v>80</v>
      </c>
      <c r="G10" s="2" t="inlineStr">
        <is>
          <t>红杉、五源</t>
        </is>
      </c>
      <c r="H10" s="2" t="inlineStr">
        <is>
          <t>近亿元融资、空间AI生成技术</t>
        </is>
      </c>
    </row>
    <row r="11">
      <c r="A11" s="2" t="inlineStr">
        <is>
          <t>摩尔线程</t>
        </is>
      </c>
      <c r="B11" s="2" t="inlineStr">
        <is>
          <t>AI芯片/硬件</t>
        </is>
      </c>
      <c r="C11" s="2" t="inlineStr">
        <is>
          <t>Pre-IPO</t>
        </is>
      </c>
      <c r="D11" s="2" t="n">
        <v>300</v>
      </c>
      <c r="E11" s="2" t="n">
        <v>15</v>
      </c>
      <c r="F11" s="2" t="n">
        <v>20</v>
      </c>
      <c r="G11" s="2" t="inlineStr">
        <is>
          <t>红杉、深创投、经纬</t>
        </is>
      </c>
      <c r="H11" s="2" t="inlineStr">
        <is>
          <t>国产GPU领军、全栈自研</t>
        </is>
      </c>
    </row>
    <row r="13">
      <c r="A13" s="3" t="inlineStr">
        <is>
          <t>行业平均P/S倍数</t>
        </is>
      </c>
      <c r="F13" s="4">
        <f>AVERAGE(F3:F11)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35" customWidth="1" min="4" max="4"/>
    <col width="20" customWidth="1" min="5" max="5"/>
    <col width="25" customWidth="1" min="6" max="6"/>
    <col width="30" customWidth="1" min="7" max="7"/>
  </cols>
  <sheetData>
    <row r="1">
      <c r="A1" s="1" t="inlineStr">
        <is>
          <t>估值方法</t>
        </is>
      </c>
      <c r="B1" s="1" t="inlineStr">
        <is>
          <t>适用阶段</t>
        </is>
      </c>
      <c r="C1" s="1" t="inlineStr">
        <is>
          <t>核心假设</t>
        </is>
      </c>
      <c r="D1" s="1" t="inlineStr">
        <is>
          <t>计算公式</t>
        </is>
      </c>
      <c r="E1" s="1" t="inlineStr">
        <is>
          <t>优点</t>
        </is>
      </c>
      <c r="F1" s="1" t="inlineStr">
        <is>
          <t>缺点</t>
        </is>
      </c>
      <c r="G1" s="1" t="inlineStr">
        <is>
          <t>对AI材料公司适用性</t>
        </is>
      </c>
    </row>
    <row r="2">
      <c r="A2" s="2" t="inlineStr">
        <is>
          <t>DCF(现金流折现法)</t>
        </is>
      </c>
      <c r="B2" s="2" t="inlineStr">
        <is>
          <t>成长期/成熟期</t>
        </is>
      </c>
      <c r="C2" s="2" t="inlineStr">
        <is>
          <t>未来现金流可预测、折现率合理</t>
        </is>
      </c>
      <c r="D2" s="2" t="inlineStr">
        <is>
          <t>企业价值 = Σ(FCFt/(1+r)^t) + 终值</t>
        </is>
      </c>
      <c r="E2" s="2" t="inlineStr">
        <is>
          <t>理论最完善、反映内在价值</t>
        </is>
      </c>
      <c r="F2" s="2" t="inlineStr">
        <is>
          <t>早期公司无正现金流、假设敏感性强</t>
        </is>
      </c>
      <c r="G2" s="2" t="inlineStr">
        <is>
          <t>★★☆☆☆ - 仅适用于已有规模化收入的公司</t>
        </is>
      </c>
    </row>
    <row r="3">
      <c r="A3" s="2" t="inlineStr">
        <is>
          <t>P/S倍数法</t>
        </is>
      </c>
      <c r="B3" s="2" t="inlineStr">
        <is>
          <t>成长期/Pre-A</t>
        </is>
      </c>
      <c r="C3" s="2" t="inlineStr">
        <is>
          <t>可比公司估值具有参考性</t>
        </is>
      </c>
      <c r="D3" s="2" t="inlineStr">
        <is>
          <t>估值 = 预测营收 × 行业P/S倍数</t>
        </is>
      </c>
      <c r="E3" s="2" t="inlineStr">
        <is>
          <t>简单直观、市场认可度高</t>
        </is>
      </c>
      <c r="F3" s="2" t="inlineStr">
        <is>
          <t>无法反映盈利能力差异</t>
        </is>
      </c>
      <c r="G3" s="2" t="inlineStr">
        <is>
          <t>★★★★☆ - Pre-A轮最常用方法</t>
        </is>
      </c>
    </row>
    <row r="4">
      <c r="A4" s="2" t="inlineStr">
        <is>
          <t>风险投资法(VC法)</t>
        </is>
      </c>
      <c r="B4" s="2" t="inlineStr">
        <is>
          <t>种子/Pre-A</t>
        </is>
      </c>
      <c r="C4" s="2" t="inlineStr">
        <is>
          <t>退出时估值可预测、IRR要求明确</t>
        </is>
      </c>
      <c r="D4" s="2" t="inlineStr">
        <is>
          <t>投后估值 = 退出估值 / (1+目标IRR)^年数</t>
        </is>
      </c>
      <c r="E4" s="2" t="inlineStr">
        <is>
          <t>符合VC投资逻辑、考虑退出回报</t>
        </is>
      </c>
      <c r="F4" s="2" t="inlineStr">
        <is>
          <t>退出估值假设主观</t>
        </is>
      </c>
      <c r="G4" s="2" t="inlineStr">
        <is>
          <t>★★★★☆ - 硬科技早期融资首选</t>
        </is>
      </c>
    </row>
    <row r="5">
      <c r="A5" s="2" t="inlineStr">
        <is>
          <t>里程碑估值法</t>
        </is>
      </c>
      <c r="B5" s="2" t="inlineStr">
        <is>
          <t>种子/Pre-A</t>
        </is>
      </c>
      <c r="C5" s="2" t="inlineStr">
        <is>
          <t>里程碑达成可消除风险</t>
        </is>
      </c>
      <c r="D5" s="2" t="inlineStr">
        <is>
          <t>估值 = 基础估值 × Σ(里程碑风险溢价系数)</t>
        </is>
      </c>
      <c r="E5" s="2" t="inlineStr">
        <is>
          <t>与技术落地进度挂钩</t>
        </is>
      </c>
      <c r="F5" s="2" t="inlineStr">
        <is>
          <t>里程碑价值认定主观</t>
        </is>
      </c>
      <c r="G5" s="2" t="inlineStr">
        <is>
          <t>★★★★☆ - AI材料公司高度适用</t>
        </is>
      </c>
    </row>
    <row r="6">
      <c r="A6" s="2" t="inlineStr">
        <is>
          <t>第一芝加哥法</t>
        </is>
      </c>
      <c r="B6" s="2" t="inlineStr">
        <is>
          <t>成长期</t>
        </is>
      </c>
      <c r="C6" s="2" t="inlineStr">
        <is>
          <t>多情景概率可评估</t>
        </is>
      </c>
      <c r="D6" s="2" t="inlineStr">
        <is>
          <t>加权估值 = Σ(情景估值 × 发生概率)</t>
        </is>
      </c>
      <c r="E6" s="2" t="inlineStr">
        <is>
          <t>考虑多情景不确定性、更贴近真实世界</t>
        </is>
      </c>
      <c r="F6" s="2" t="inlineStr">
        <is>
          <t>情景设定和概率分配难度大</t>
        </is>
      </c>
      <c r="G6" s="2" t="inlineStr">
        <is>
          <t>★★★☆☆ - 技术路线不确定时适用</t>
        </is>
      </c>
    </row>
    <row r="7">
      <c r="A7" s="2" t="inlineStr">
        <is>
          <t>研发投入倍数法</t>
        </is>
      </c>
      <c r="B7" s="2" t="inlineStr">
        <is>
          <t>种子/天使</t>
        </is>
      </c>
      <c r="C7" s="2" t="inlineStr">
        <is>
          <t>研发投入转化为技术壁垒</t>
        </is>
      </c>
      <c r="D7" s="2" t="inlineStr">
        <is>
          <t>估值 = 累计研发投入 × 技术溢价倍数</t>
        </is>
      </c>
      <c r="E7" s="2" t="inlineStr">
        <is>
          <t>反映技术积累价值</t>
        </is>
      </c>
      <c r="F7" s="2" t="inlineStr">
        <is>
          <t>无法直接反映商业价值</t>
        </is>
      </c>
      <c r="G7" s="2" t="inlineStr">
        <is>
          <t>★★★☆☆ - 技术驱动型公司适用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0" customWidth="1" min="5" max="5"/>
    <col width="35" customWidth="1" min="6" max="6"/>
  </cols>
  <sheetData>
    <row r="1">
      <c r="A1" s="5" t="inlineStr">
        <is>
          <t>和光智成Pre-A轮估值测算(2026年)</t>
        </is>
      </c>
    </row>
    <row r="3">
      <c r="A3" s="1" t="inlineStr">
        <is>
          <t>项目</t>
        </is>
      </c>
      <c r="B3" s="1" t="inlineStr">
        <is>
          <t>悲观情景</t>
        </is>
      </c>
      <c r="C3" s="1" t="inlineStr">
        <is>
          <t>中性情景</t>
        </is>
      </c>
      <c r="D3" s="1" t="inlineStr">
        <is>
          <t>乐观情景</t>
        </is>
      </c>
      <c r="E3" s="1" t="inlineStr">
        <is>
          <t>单位</t>
        </is>
      </c>
      <c r="F3" s="1" t="inlineStr">
        <is>
          <t>备注</t>
        </is>
      </c>
    </row>
    <row r="4">
      <c r="A4" s="2" t="inlineStr">
        <is>
          <t>基准年营收(ARR)</t>
        </is>
      </c>
      <c r="B4" s="2" t="n">
        <v>5000</v>
      </c>
      <c r="C4" s="2" t="n">
        <v>8000</v>
      </c>
      <c r="D4" s="2" t="n">
        <v>12000</v>
      </c>
      <c r="E4" s="2" t="inlineStr">
        <is>
          <t>万元</t>
        </is>
      </c>
      <c r="F4" s="2" t="inlineStr">
        <is>
          <t>2026年预测年化营收</t>
        </is>
      </c>
    </row>
    <row r="5">
      <c r="A5" s="2" t="inlineStr">
        <is>
          <t>营收增长率(下一年)</t>
        </is>
      </c>
      <c r="B5" s="2" t="inlineStr">
        <is>
          <t>30%</t>
        </is>
      </c>
      <c r="C5" s="2" t="inlineStr">
        <is>
          <t>50%</t>
        </is>
      </c>
      <c r="D5" s="2" t="inlineStr">
        <is>
          <t>80%</t>
        </is>
      </c>
      <c r="E5" s="2" t="inlineStr">
        <is>
          <t>%</t>
        </is>
      </c>
      <c r="F5" s="2" t="inlineStr">
        <is>
          <t>商业落地进度差异</t>
        </is>
      </c>
    </row>
    <row r="6">
      <c r="A6" s="2" t="inlineStr">
        <is>
          <t>可比公司P/S倍数</t>
        </is>
      </c>
      <c r="B6" s="2" t="n">
        <v>15</v>
      </c>
      <c r="C6" s="2" t="n">
        <v>25</v>
      </c>
      <c r="D6" s="2" t="n">
        <v>40</v>
      </c>
      <c r="E6" s="2" t="inlineStr">
        <is>
          <t>倍</t>
        </is>
      </c>
      <c r="F6" s="2" t="inlineStr">
        <is>
          <t>AI材料赛道15-80倍区间</t>
        </is>
      </c>
    </row>
    <row r="7">
      <c r="A7" s="2" t="inlineStr">
        <is>
          <t>核心技术壁垒溢价</t>
        </is>
      </c>
      <c r="B7" s="2" t="n">
        <v>1</v>
      </c>
      <c r="C7" s="2" t="n">
        <v>1.2</v>
      </c>
      <c r="D7" s="2" t="n">
        <v>1.5</v>
      </c>
      <c r="E7" s="2" t="inlineStr">
        <is>
          <t>系数</t>
        </is>
      </c>
      <c r="F7" s="2" t="inlineStr">
        <is>
          <t>分子模拟/自动化实验室领先程度</t>
        </is>
      </c>
    </row>
    <row r="8">
      <c r="A8" s="2" t="inlineStr">
        <is>
          <t>团队背景溢价</t>
        </is>
      </c>
      <c r="B8" s="2" t="n">
        <v>1</v>
      </c>
      <c r="C8" s="2" t="n">
        <v>1.1</v>
      </c>
      <c r="D8" s="2" t="n">
        <v>1.3</v>
      </c>
      <c r="E8" s="2" t="inlineStr">
        <is>
          <t>系数</t>
        </is>
      </c>
      <c r="F8" s="2" t="inlineStr">
        <is>
          <t>清华/海外顶尖团队加持</t>
        </is>
      </c>
    </row>
    <row r="9">
      <c r="A9" s="2" t="inlineStr">
        <is>
          <t>商业化里程碑进度</t>
        </is>
      </c>
      <c r="B9" s="2" t="n">
        <v>0.8</v>
      </c>
      <c r="C9" s="2" t="n">
        <v>1</v>
      </c>
      <c r="D9" s="2" t="n">
        <v>1.3</v>
      </c>
      <c r="E9" s="2" t="inlineStr">
        <is>
          <t>系数</t>
        </is>
      </c>
      <c r="F9" s="2" t="inlineStr">
        <is>
          <t>客户签约/产线落地情况</t>
        </is>
      </c>
    </row>
    <row r="10">
      <c r="A10" s="2" t="inlineStr">
        <is>
          <t>融资金额需求</t>
        </is>
      </c>
      <c r="B10" s="2" t="n">
        <v>10000</v>
      </c>
      <c r="C10" s="2" t="n">
        <v>20000</v>
      </c>
      <c r="D10" s="2" t="n">
        <v>35000</v>
      </c>
      <c r="E10" s="2" t="inlineStr">
        <is>
          <t>万元</t>
        </is>
      </c>
      <c r="F10" s="2" t="inlineStr">
        <is>
          <t>研发+市场+团队扩张</t>
        </is>
      </c>
    </row>
    <row r="11">
      <c r="A11" s="2" t="inlineStr">
        <is>
          <t>稀释比例</t>
        </is>
      </c>
      <c r="B11" s="2" t="inlineStr">
        <is>
          <t>15%-20%</t>
        </is>
      </c>
      <c r="C11" s="2" t="inlineStr">
        <is>
          <t>15%-20%</t>
        </is>
      </c>
      <c r="D11" s="2" t="inlineStr">
        <is>
          <t>15%-20%</t>
        </is>
      </c>
      <c r="E11" s="2" t="inlineStr">
        <is>
          <t>%</t>
        </is>
      </c>
      <c r="F11" s="2" t="inlineStr">
        <is>
          <t>标准Pre-A轮稀释</t>
        </is>
      </c>
    </row>
    <row r="12">
      <c r="A12" s="3" t="inlineStr">
        <is>
          <t>投后估值(基于营收倍数)</t>
        </is>
      </c>
      <c r="B12" s="4">
        <f>B4*B6*B7*B8/10000</f>
        <v/>
      </c>
      <c r="C12" s="4">
        <f>C4*C6*C7*C8/10000</f>
        <v/>
      </c>
      <c r="D12" s="4">
        <f>D4*D6*D7*D8/10000</f>
        <v/>
      </c>
      <c r="E12" t="inlineStr">
        <is>
          <t>亿元</t>
        </is>
      </c>
    </row>
    <row r="13">
      <c r="A13" s="3" t="inlineStr">
        <is>
          <t>对应投前估值</t>
        </is>
      </c>
      <c r="B13" s="3">
        <f>B12-B9/10000</f>
        <v/>
      </c>
      <c r="C13" s="3">
        <f>C12-C9/10000</f>
        <v/>
      </c>
      <c r="D13" s="3">
        <f>D12-D9/10000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6" t="inlineStr">
        <is>
          <t>关键估值驱动因子敏感性分析</t>
        </is>
      </c>
    </row>
    <row r="3">
      <c r="A3" s="3" t="inlineStr">
        <is>
          <t>P/S倍数变动对估值影响(中性基准)</t>
        </is>
      </c>
    </row>
    <row r="4">
      <c r="A4" s="1" t="inlineStr">
        <is>
          <t>P/S倍数</t>
        </is>
      </c>
      <c r="B4" s="1" t="n">
        <v>10</v>
      </c>
      <c r="C4" s="1" t="n">
        <v>15</v>
      </c>
      <c r="D4" s="1" t="n">
        <v>20</v>
      </c>
      <c r="E4" s="1" t="n">
        <v>25</v>
      </c>
      <c r="F4" s="1" t="n">
        <v>30</v>
      </c>
      <c r="G4" s="1" t="n">
        <v>35</v>
      </c>
      <c r="H4" s="1" t="n">
        <v>40</v>
      </c>
    </row>
    <row r="5">
      <c r="A5" t="inlineStr">
        <is>
          <t>估值(亿元)</t>
        </is>
      </c>
      <c r="B5">
        <f>8000*B4*1.2*1.1*1/10000/10000</f>
        <v/>
      </c>
      <c r="C5">
        <f>8000*C4*1.2*1.1*1/10000/10000</f>
        <v/>
      </c>
      <c r="D5">
        <f>8000*D4*1.2*1.1*1/10000/10000</f>
        <v/>
      </c>
      <c r="E5">
        <f>8000*E4*1.2*1.1*1/10000/10000</f>
        <v/>
      </c>
      <c r="F5">
        <f>8000*F4*1.2*1.1*1/10000/10000</f>
        <v/>
      </c>
      <c r="G5">
        <f>8000*G4*1.2*1.1*1/10000/10000</f>
        <v/>
      </c>
      <c r="H5">
        <f>8000*H4*1.2*1.1*1/10000/10000</f>
        <v/>
      </c>
    </row>
    <row r="7">
      <c r="A7" s="3" t="inlineStr">
        <is>
          <t>ARR变动对估值影响(P/S=25基准)</t>
        </is>
      </c>
    </row>
    <row r="8">
      <c r="A8" s="1" t="inlineStr">
        <is>
          <t>ARR(万元)</t>
        </is>
      </c>
      <c r="B8" s="1" t="n">
        <v>3000</v>
      </c>
      <c r="C8" s="1" t="n">
        <v>5000</v>
      </c>
      <c r="D8" s="1" t="n">
        <v>8000</v>
      </c>
      <c r="E8" s="1" t="n">
        <v>12000</v>
      </c>
      <c r="F8" s="1" t="n">
        <v>15000</v>
      </c>
      <c r="G8" s="1" t="n">
        <v>20000</v>
      </c>
    </row>
    <row r="9">
      <c r="A9" t="inlineStr">
        <is>
          <t>估值(亿元)</t>
        </is>
      </c>
      <c r="B9">
        <f>B8*25*1.2*1.1*1/10000</f>
        <v/>
      </c>
      <c r="C9">
        <f>C8*25*1.2*1.1*1/10000</f>
        <v/>
      </c>
      <c r="D9">
        <f>D8*25*1.2*1.1*1/10000</f>
        <v/>
      </c>
      <c r="E9">
        <f>E8*25*1.2*1.1*1/10000</f>
        <v/>
      </c>
      <c r="F9">
        <f>F8*25*1.2*1.1*1/10000</f>
        <v/>
      </c>
      <c r="G9">
        <f>G8*25*1.2*1.1*1/10000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2026-04-27T00:58:51Z</dcterms:created>
  <dcterms:modified xmlns:dcterms="http://purl.org/dc/terms/" xmlns:xsi="http://www.w3.org/2001/XMLSchema-instance" xsi:type="dcterms:W3CDTF">2026-04-27T00:58:51Z</dcterms:modified>
</cp:coreProperties>
</file>